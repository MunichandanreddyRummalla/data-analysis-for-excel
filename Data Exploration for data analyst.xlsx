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53832cf1a42464/Desktop/excel/"/>
    </mc:Choice>
  </mc:AlternateContent>
  <xr:revisionPtr revIDLastSave="0" documentId="8_{F7966A8C-1663-4514-B7CB-2B6FF99937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N11" i="2"/>
  <c r="N1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8" i="2"/>
  <c r="N7" i="2"/>
  <c r="N4" i="2"/>
  <c r="N3" i="2"/>
  <c r="N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<sst xmlns="http://schemas.openxmlformats.org/spreadsheetml/2006/main" count="170" uniqueCount="121">
  <si>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</si>
  <si>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</si>
  <si>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</si>
  <si>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</si>
  <si>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</si>
  <si>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</si>
  <si>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</si>
  <si>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</si>
  <si>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</si>
  <si>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</si>
  <si>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</si>
  <si>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</si>
  <si>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</si>
  <si>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</si>
  <si>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</si>
  <si>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</si>
  <si>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</si>
  <si>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</si>
  <si>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</si>
  <si>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</si>
  <si>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</si>
  <si>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</si>
  <si>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</si>
  <si>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</si>
  <si>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</si>
  <si>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</si>
  <si>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</si>
  <si>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</si>
  <si>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</si>
  <si>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</si>
  <si>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</si>
  <si>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</si>
  <si>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</si>
  <si>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</si>
  <si>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</si>
  <si>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</si>
  <si>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</si>
  <si>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</si>
  <si>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</si>
  <si>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</si>
  <si>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</si>
  <si>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</si>
  <si>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</si>
  <si>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</si>
  <si>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</si>
  <si>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</si>
  <si>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</si>
  <si>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</si>
  <si>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</si>
  <si>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</si>
  <si>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</si>
  <si>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</si>
  <si>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</si>
  <si>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</si>
  <si>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</si>
  <si>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</si>
  <si>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</si>
  <si>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</si>
  <si>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</si>
  <si>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</si>
  <si>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</si>
  <si>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</si>
  <si>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</si>
  <si>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</si>
  <si>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</si>
  <si>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</si>
  <si>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</si>
  <si>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</si>
  <si>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</si>
  <si>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</si>
  <si>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</si>
  <si>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</si>
  <si>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</si>
  <si>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</si>
  <si>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</si>
  <si>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</si>
  <si>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</si>
  <si>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</si>
  <si>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</si>
  <si>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</si>
  <si>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</si>
  <si>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</si>
  <si>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</si>
  <si>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</si>
  <si>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</si>
  <si>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</si>
  <si>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</si>
  <si>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</si>
  <si>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</si>
  <si>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</si>
  <si>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</si>
  <si>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</si>
  <si>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</si>
  <si>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</si>
  <si>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</si>
  <si>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</si>
  <si>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</si>
  <si>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</si>
  <si>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</si>
  <si>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</si>
  <si>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</si>
  <si>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</si>
  <si>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</si>
  <si>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</si>
  <si>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</si>
  <si>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</si>
  <si>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</si>
  <si>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</si>
  <si>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</si>
  <si>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</si>
  <si>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</si>
  <si>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how many products in data set</t>
  </si>
  <si>
    <t xml:space="preserve"> average price of products</t>
  </si>
  <si>
    <t>minimum price of products</t>
  </si>
  <si>
    <t>maximum price of products</t>
  </si>
  <si>
    <t>Price Range</t>
  </si>
  <si>
    <t>total price of the electronices using sumif</t>
  </si>
  <si>
    <t>count of the products using count 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</si>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</sst>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/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Normal="100" workbookViewId="0">
      <selection activeCell="E16" sqref="E16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5"/>
  <sheetViews>
    <sheetView tabSelected="1" workbookViewId="0"/>
  </sheetViews>
  <sheetFormatPr defaultColWidth="12.6640625" defaultRowHeight="15.75" customHeight="1" x14ac:dyDescent="0.25"/>
  <sheetData>
    <row r="1" spans="1:15" ht="13.2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5" ht="13.2" x14ac:dyDescent="0.25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 t="str">
        <f>IF(D2&gt;500,"High Price","Standard price")</f>
        <v>High Price</v>
      </c>
      <c r="H2" s="9" t="str">
        <f>LEFT(A2,2)</f>
        <v>28</v>
      </c>
      <c r="I2" t="str">
        <f>RIGHT(A2,2)</f>
        <v>US</v>
      </c>
      <c r="J2" t="str">
        <f>MID(A2,4,3)</f>
        <v>JAN</v>
      </c>
      <c r="K2" s="11" t="s">
        <v>110</v>
      </c>
      <c r="L2" s="11"/>
      <c r="M2" s="11"/>
      <c r="N2" s="11">
        <f>SUM(D:D)</f>
        <v>10100</v>
      </c>
      <c r="O2" s="11"/>
    </row>
    <row r="3" spans="1:15" ht="13.2" x14ac:dyDescent="0.25">
      <c r="A3" s="7" t="s">
        <v>27</v>
      </c>
      <c r="B3" s="7" t="s">
        <v>28</v>
      </c>
      <c r="C3" s="7" t="s">
        <v>29</v>
      </c>
      <c r="D3" s="8">
        <v>80</v>
      </c>
      <c r="E3" s="8">
        <v>15</v>
      </c>
      <c r="F3" s="7" t="s">
        <v>30</v>
      </c>
      <c r="G3" t="str">
        <f t="shared" ref="G3:G35" si="0">IF(D3&gt;500,"High Price","Standard price")</f>
        <v>Standard price</v>
      </c>
      <c r="H3" s="9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K3" s="11" t="s">
        <v>111</v>
      </c>
      <c r="L3" s="11"/>
      <c r="M3" s="11"/>
      <c r="N3" s="11">
        <f>COUNT(D2:D35)</f>
        <v>34</v>
      </c>
      <c r="O3" s="11"/>
    </row>
    <row r="4" spans="1:15" ht="13.2" x14ac:dyDescent="0.25">
      <c r="A4" s="2" t="s">
        <v>31</v>
      </c>
      <c r="B4" s="2" t="s">
        <v>32</v>
      </c>
      <c r="C4" s="2" t="s">
        <v>33</v>
      </c>
      <c r="D4" s="6">
        <v>130</v>
      </c>
      <c r="E4" s="6">
        <v>40</v>
      </c>
      <c r="F4" s="2" t="s">
        <v>34</v>
      </c>
      <c r="G4" t="str">
        <f t="shared" si="0"/>
        <v>Standard price</v>
      </c>
      <c r="H4" s="10" t="str">
        <f t="shared" si="1"/>
        <v>03</v>
      </c>
      <c r="I4" t="str">
        <f t="shared" si="2"/>
        <v>US</v>
      </c>
      <c r="J4" t="str">
        <f t="shared" si="3"/>
        <v>MAR</v>
      </c>
      <c r="K4" s="11" t="s">
        <v>112</v>
      </c>
      <c r="L4" s="11"/>
      <c r="M4" s="11"/>
      <c r="N4" s="11">
        <f>AVERAGE(D:D)</f>
        <v>297.05882352941177</v>
      </c>
      <c r="O4" s="11"/>
    </row>
    <row r="5" spans="1:15" ht="15.75" customHeight="1" x14ac:dyDescent="0.3">
      <c r="A5" s="7" t="s">
        <v>35</v>
      </c>
      <c r="B5" s="7" t="s">
        <v>36</v>
      </c>
      <c r="C5" s="7" t="s">
        <v>37</v>
      </c>
      <c r="D5" s="8">
        <v>900</v>
      </c>
      <c r="E5" s="8">
        <v>25</v>
      </c>
      <c r="F5" s="7" t="s">
        <v>26</v>
      </c>
      <c r="G5" t="str">
        <f t="shared" si="0"/>
        <v>High Price</v>
      </c>
      <c r="H5" s="10" t="str">
        <f t="shared" si="1"/>
        <v>11</v>
      </c>
      <c r="I5" t="str">
        <f t="shared" si="2"/>
        <v>US</v>
      </c>
      <c r="J5" t="str">
        <f t="shared" si="3"/>
        <v>APR</v>
      </c>
      <c r="K5" s="12"/>
      <c r="L5" s="11"/>
      <c r="M5" s="11"/>
      <c r="N5" s="11"/>
      <c r="O5" s="11"/>
    </row>
    <row r="6" spans="1:15" ht="13.2" x14ac:dyDescent="0.25">
      <c r="A6" s="2" t="s">
        <v>38</v>
      </c>
      <c r="B6" s="2" t="s">
        <v>39</v>
      </c>
      <c r="C6" s="2" t="s">
        <v>40</v>
      </c>
      <c r="D6" s="6">
        <v>70</v>
      </c>
      <c r="E6" s="6">
        <v>20</v>
      </c>
      <c r="F6" s="2" t="s">
        <v>41</v>
      </c>
      <c r="G6" t="str">
        <f t="shared" si="0"/>
        <v>Standard price</v>
      </c>
      <c r="H6" s="10" t="str">
        <f t="shared" si="1"/>
        <v>22</v>
      </c>
      <c r="I6" t="str">
        <f t="shared" si="2"/>
        <v>US</v>
      </c>
      <c r="J6" t="str">
        <f t="shared" si="3"/>
        <v>MAY</v>
      </c>
      <c r="K6" s="11"/>
      <c r="L6" s="11"/>
      <c r="M6" s="11"/>
      <c r="N6" s="11"/>
      <c r="O6" s="11"/>
    </row>
    <row r="7" spans="1:15" ht="13.2" x14ac:dyDescent="0.25">
      <c r="A7" s="7" t="s">
        <v>42</v>
      </c>
      <c r="B7" s="7" t="s">
        <v>43</v>
      </c>
      <c r="C7" s="7" t="s">
        <v>44</v>
      </c>
      <c r="D7" s="8">
        <v>200</v>
      </c>
      <c r="E7" s="8">
        <v>45</v>
      </c>
      <c r="F7" s="7" t="s">
        <v>26</v>
      </c>
      <c r="G7" t="str">
        <f t="shared" si="0"/>
        <v>Standard price</v>
      </c>
      <c r="H7" s="10" t="str">
        <f t="shared" si="1"/>
        <v>07</v>
      </c>
      <c r="I7" t="str">
        <f t="shared" si="2"/>
        <v>UK</v>
      </c>
      <c r="J7" t="str">
        <f t="shared" si="3"/>
        <v>JUN</v>
      </c>
      <c r="K7" s="11" t="s">
        <v>113</v>
      </c>
      <c r="L7" s="11"/>
      <c r="M7" s="11"/>
      <c r="N7" s="11">
        <f>MIN(D:D)</f>
        <v>30</v>
      </c>
      <c r="O7" s="11"/>
    </row>
    <row r="8" spans="1:15" ht="13.2" x14ac:dyDescent="0.25">
      <c r="A8" s="2" t="s">
        <v>45</v>
      </c>
      <c r="B8" s="2" t="s">
        <v>46</v>
      </c>
      <c r="C8" s="2" t="s">
        <v>47</v>
      </c>
      <c r="D8" s="6">
        <v>30</v>
      </c>
      <c r="E8" s="6">
        <v>5</v>
      </c>
      <c r="F8" s="2" t="s">
        <v>30</v>
      </c>
      <c r="G8" t="str">
        <f t="shared" si="0"/>
        <v>Standard price</v>
      </c>
      <c r="H8" s="10" t="str">
        <f t="shared" si="1"/>
        <v>19</v>
      </c>
      <c r="I8" t="str">
        <f t="shared" si="2"/>
        <v>UK</v>
      </c>
      <c r="J8" t="str">
        <f t="shared" si="3"/>
        <v>JUL</v>
      </c>
      <c r="K8" s="11" t="s">
        <v>114</v>
      </c>
      <c r="L8" s="11"/>
      <c r="M8" s="11"/>
      <c r="N8" s="11">
        <f>MAX(D:D)</f>
        <v>1000</v>
      </c>
      <c r="O8" s="11"/>
    </row>
    <row r="9" spans="1:15" ht="13.2" x14ac:dyDescent="0.25">
      <c r="A9" s="7" t="s">
        <v>48</v>
      </c>
      <c r="B9" s="7" t="s">
        <v>49</v>
      </c>
      <c r="C9" s="7" t="s">
        <v>50</v>
      </c>
      <c r="D9" s="8">
        <v>90</v>
      </c>
      <c r="E9" s="8">
        <v>35</v>
      </c>
      <c r="F9" s="7" t="s">
        <v>34</v>
      </c>
      <c r="G9" t="str">
        <f t="shared" si="0"/>
        <v>Standard price</v>
      </c>
      <c r="H9" s="10" t="str">
        <f t="shared" si="1"/>
        <v>23</v>
      </c>
      <c r="I9" t="str">
        <f t="shared" si="2"/>
        <v>UK</v>
      </c>
      <c r="J9" t="str">
        <f t="shared" si="3"/>
        <v>AUG</v>
      </c>
      <c r="K9" s="11"/>
      <c r="L9" s="11"/>
      <c r="M9" s="11"/>
      <c r="N9" s="11"/>
      <c r="O9" s="11"/>
    </row>
    <row r="10" spans="1:15" ht="13.2" x14ac:dyDescent="0.25">
      <c r="A10" s="2" t="s">
        <v>51</v>
      </c>
      <c r="B10" s="2" t="s">
        <v>52</v>
      </c>
      <c r="C10" s="2" t="s">
        <v>53</v>
      </c>
      <c r="D10" s="6">
        <v>500</v>
      </c>
      <c r="E10" s="6">
        <v>50</v>
      </c>
      <c r="F10" s="2" t="s">
        <v>26</v>
      </c>
      <c r="G10" t="str">
        <f t="shared" si="0"/>
        <v>Standard price</v>
      </c>
      <c r="H10" s="10" t="str">
        <f t="shared" si="1"/>
        <v>05</v>
      </c>
      <c r="I10" t="str">
        <f t="shared" si="2"/>
        <v>UK</v>
      </c>
      <c r="J10" t="str">
        <f t="shared" si="3"/>
        <v>SEP</v>
      </c>
      <c r="K10" s="11" t="s">
        <v>116</v>
      </c>
      <c r="L10" s="11"/>
      <c r="M10" s="11"/>
      <c r="N10" s="11">
        <f>SUMIF(F2:F35,"Electronics",D2:D35)</f>
        <v>8050</v>
      </c>
      <c r="O10" s="11"/>
    </row>
    <row r="11" spans="1:15" ht="13.2" x14ac:dyDescent="0.25">
      <c r="A11" s="7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7" t="s">
        <v>41</v>
      </c>
      <c r="G11" t="str">
        <f t="shared" si="0"/>
        <v>Standard price</v>
      </c>
      <c r="H11" s="10" t="str">
        <f t="shared" si="1"/>
        <v>14</v>
      </c>
      <c r="I11" t="str">
        <f t="shared" si="2"/>
        <v>UK</v>
      </c>
      <c r="J11" t="str">
        <f t="shared" si="3"/>
        <v>OCT</v>
      </c>
      <c r="K11" s="11" t="s">
        <v>117</v>
      </c>
      <c r="L11" s="11"/>
      <c r="M11" s="11"/>
      <c r="N11" s="11">
        <f>COUNTIF(D2:D35,"&lt;100")</f>
        <v>11</v>
      </c>
      <c r="O11" s="11"/>
    </row>
    <row r="12" spans="1:15" ht="13.2" x14ac:dyDescent="0.25">
      <c r="A12" s="2" t="s">
        <v>57</v>
      </c>
      <c r="B12" s="2" t="s">
        <v>24</v>
      </c>
      <c r="C12" s="2" t="s">
        <v>58</v>
      </c>
      <c r="D12" s="6">
        <v>950</v>
      </c>
      <c r="E12" s="6">
        <v>25</v>
      </c>
      <c r="F12" s="2" t="s">
        <v>26</v>
      </c>
      <c r="G12" t="str">
        <f t="shared" si="0"/>
        <v>High Price</v>
      </c>
      <c r="H12" s="10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5" ht="13.2" x14ac:dyDescent="0.25">
      <c r="A13" s="7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7" t="s">
        <v>30</v>
      </c>
      <c r="G13" t="str">
        <f t="shared" si="0"/>
        <v>Standard price</v>
      </c>
      <c r="H13" s="10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5" ht="13.2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t="str">
        <f t="shared" si="0"/>
        <v>Standard price</v>
      </c>
      <c r="H14" s="10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5" ht="13.2" x14ac:dyDescent="0.25">
      <c r="A15" s="7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7" t="s">
        <v>26</v>
      </c>
      <c r="G15" t="str">
        <f t="shared" si="0"/>
        <v>Standard price</v>
      </c>
      <c r="H15" s="10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5" ht="13.2" x14ac:dyDescent="0.25">
      <c r="A16" s="2" t="s">
        <v>65</v>
      </c>
      <c r="B16" s="2" t="s">
        <v>43</v>
      </c>
      <c r="C16" s="2" t="s">
        <v>66</v>
      </c>
      <c r="D16" s="6">
        <v>250</v>
      </c>
      <c r="E16" s="6">
        <v>20</v>
      </c>
      <c r="F16" s="2" t="s">
        <v>26</v>
      </c>
      <c r="G16" t="str">
        <f t="shared" si="0"/>
        <v>Standard price</v>
      </c>
      <c r="H16" s="10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3.2" x14ac:dyDescent="0.25">
      <c r="A17" s="7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7" t="s">
        <v>70</v>
      </c>
      <c r="G17" t="str">
        <f t="shared" si="0"/>
        <v>Standard price</v>
      </c>
      <c r="H17" s="10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3.2" x14ac:dyDescent="0.25">
      <c r="A18" s="2" t="s">
        <v>71</v>
      </c>
      <c r="B18" s="2" t="s">
        <v>63</v>
      </c>
      <c r="C18" s="2" t="s">
        <v>72</v>
      </c>
      <c r="D18" s="6">
        <v>160</v>
      </c>
      <c r="E18" s="6">
        <v>15</v>
      </c>
      <c r="F18" s="2" t="s">
        <v>26</v>
      </c>
      <c r="G18" t="str">
        <f t="shared" si="0"/>
        <v>Standard price</v>
      </c>
      <c r="H18" s="10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3.2" x14ac:dyDescent="0.25">
      <c r="A19" s="7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7" t="s">
        <v>26</v>
      </c>
      <c r="G19" t="str">
        <f t="shared" si="0"/>
        <v>High Price</v>
      </c>
      <c r="H19" s="10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3.2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t="str">
        <f t="shared" si="0"/>
        <v>Standard price</v>
      </c>
      <c r="H20" s="1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3.2" x14ac:dyDescent="0.25">
      <c r="A21" s="7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7" t="s">
        <v>41</v>
      </c>
      <c r="G21" t="str">
        <f t="shared" si="0"/>
        <v>Standard price</v>
      </c>
      <c r="H21" s="10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3.2" x14ac:dyDescent="0.25">
      <c r="A22" s="2" t="s">
        <v>81</v>
      </c>
      <c r="B22" s="2" t="s">
        <v>82</v>
      </c>
      <c r="C22" s="2" t="s">
        <v>83</v>
      </c>
      <c r="D22" s="6">
        <v>700</v>
      </c>
      <c r="E22" s="6">
        <v>50</v>
      </c>
      <c r="F22" s="2" t="s">
        <v>26</v>
      </c>
      <c r="G22" t="str">
        <f t="shared" si="0"/>
        <v>High Price</v>
      </c>
      <c r="H22" s="10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3.2" x14ac:dyDescent="0.25">
      <c r="A23" s="7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7" t="s">
        <v>34</v>
      </c>
      <c r="G23" t="str">
        <f t="shared" si="0"/>
        <v>Standard price</v>
      </c>
      <c r="H23" s="10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3.2" x14ac:dyDescent="0.25">
      <c r="A24" s="2" t="s">
        <v>87</v>
      </c>
      <c r="B24" s="2" t="s">
        <v>88</v>
      </c>
      <c r="C24" s="2" t="s">
        <v>89</v>
      </c>
      <c r="D24" s="6">
        <v>150</v>
      </c>
      <c r="E24" s="6">
        <v>30</v>
      </c>
      <c r="F24" s="2" t="s">
        <v>26</v>
      </c>
      <c r="G24" t="str">
        <f t="shared" si="0"/>
        <v>Standard price</v>
      </c>
      <c r="H24" s="10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3.2" x14ac:dyDescent="0.25">
      <c r="A25" s="7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7" t="s">
        <v>70</v>
      </c>
      <c r="G25" t="str">
        <f t="shared" si="0"/>
        <v>Standard price</v>
      </c>
      <c r="H25" s="10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3.2" x14ac:dyDescent="0.25">
      <c r="A26" s="2" t="s">
        <v>90</v>
      </c>
      <c r="B26" s="2" t="s">
        <v>36</v>
      </c>
      <c r="C26" s="2" t="s">
        <v>91</v>
      </c>
      <c r="D26" s="6">
        <v>800</v>
      </c>
      <c r="E26" s="6">
        <v>45</v>
      </c>
      <c r="F26" s="2" t="s">
        <v>26</v>
      </c>
      <c r="G26" t="str">
        <f t="shared" si="0"/>
        <v>High Price</v>
      </c>
      <c r="H26" s="10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3.2" x14ac:dyDescent="0.25">
      <c r="A27" s="7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7" t="s">
        <v>30</v>
      </c>
      <c r="G27" t="str">
        <f t="shared" si="0"/>
        <v>Standard price</v>
      </c>
      <c r="H27" s="10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3.2" x14ac:dyDescent="0.25">
      <c r="A28" s="2" t="s">
        <v>94</v>
      </c>
      <c r="B28" s="2" t="s">
        <v>49</v>
      </c>
      <c r="C28" s="2" t="s">
        <v>95</v>
      </c>
      <c r="D28" s="6">
        <v>400</v>
      </c>
      <c r="E28" s="6">
        <v>40</v>
      </c>
      <c r="F28" s="2" t="s">
        <v>34</v>
      </c>
      <c r="G28" t="str">
        <f t="shared" si="0"/>
        <v>Standard price</v>
      </c>
      <c r="H28" s="10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3.2" x14ac:dyDescent="0.25">
      <c r="A29" s="7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7" t="s">
        <v>26</v>
      </c>
      <c r="G29" t="str">
        <f t="shared" si="0"/>
        <v>Standard price</v>
      </c>
      <c r="H29" s="10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3.2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 t="str">
        <f t="shared" si="0"/>
        <v>Standard price</v>
      </c>
      <c r="H30" s="1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3.2" x14ac:dyDescent="0.25">
      <c r="A31" s="7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7" t="s">
        <v>34</v>
      </c>
      <c r="G31" t="str">
        <f t="shared" si="0"/>
        <v>Standard price</v>
      </c>
      <c r="H31" s="10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3.2" x14ac:dyDescent="0.25">
      <c r="A32" s="2" t="s">
        <v>102</v>
      </c>
      <c r="B32" s="2" t="s">
        <v>88</v>
      </c>
      <c r="C32" s="2" t="s">
        <v>103</v>
      </c>
      <c r="D32" s="6">
        <v>130</v>
      </c>
      <c r="E32" s="6">
        <v>5</v>
      </c>
      <c r="F32" s="2" t="s">
        <v>26</v>
      </c>
      <c r="G32" t="str">
        <f t="shared" si="0"/>
        <v>Standard price</v>
      </c>
      <c r="H32" s="10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3.2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 t="str">
        <f t="shared" si="0"/>
        <v>Standard price</v>
      </c>
      <c r="H33" s="10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3.2" x14ac:dyDescent="0.25">
      <c r="A34" s="2" t="s">
        <v>57</v>
      </c>
      <c r="B34" s="2" t="s">
        <v>24</v>
      </c>
      <c r="C34" s="2" t="s">
        <v>58</v>
      </c>
      <c r="D34" s="6">
        <v>950</v>
      </c>
      <c r="E34" s="6">
        <v>25</v>
      </c>
      <c r="F34" s="2" t="s">
        <v>26</v>
      </c>
      <c r="G34" t="str">
        <f t="shared" si="0"/>
        <v>High Price</v>
      </c>
      <c r="H34" s="10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3.2" x14ac:dyDescent="0.25">
      <c r="A35" s="7" t="s">
        <v>107</v>
      </c>
      <c r="B35" s="7" t="s">
        <v>108</v>
      </c>
      <c r="C35" s="7" t="s">
        <v>109</v>
      </c>
      <c r="D35" s="8">
        <v>100</v>
      </c>
      <c r="E35" s="8">
        <v>20</v>
      </c>
      <c r="F35" s="7" t="s">
        <v>70</v>
      </c>
      <c r="G35" t="str">
        <f t="shared" si="0"/>
        <v>Standard price</v>
      </c>
      <c r="H35" s="10" t="str">
        <f t="shared" si="1"/>
        <v>09</v>
      </c>
      <c r="I35" t="str">
        <f t="shared" si="2"/>
        <v>FR</v>
      </c>
      <c r="J35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 chandan reddy</dc:creator>
  <cp:lastModifiedBy>muni chandan reddy</cp:lastModifiedBy>
  <dcterms:created xsi:type="dcterms:W3CDTF">2026-06-27T03:07:25Z</dcterms:created>
  <dcterms:modified xsi:type="dcterms:W3CDTF">2026-06-27T03:07:25Z</dcterms:modified>
</cp:coreProperties>
</file>