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e53832cf1a42464/Desktop/excel/"/>
    </mc:Choice>
  </mc:AlternateContent>
  <xr:revisionPtr revIDLastSave="0" documentId="8_{6DFE286D-6663-468A-A5EE-C6799EC3CF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s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N35" i="1"/>
  <c r="N34" i="1"/>
  <c r="M31" i="1"/>
  <c r="M22" i="1"/>
  <c r="M2" i="1"/>
  <c r="N4" i="1"/>
  <c r="N3" i="1"/>
  <c r="N39" i="1" l="1"/>
</calcChain>
</file>

<file path=xl/sharedStrings.xml><?xml version="1.0" encoding="utf-8"?>
<sst xmlns="http://schemas.openxmlformats.org/spreadsheetml/2006/main" count="78" uniqueCount="78">
  <si>
    <t>EmployeeID</t>
  </si>
  <si>
    <t>Age</t>
  </si>
  <si>
    <t>ExperienceYears</t>
  </si>
  <si>
    <t>MonthlySalary</t>
  </si>
  <si>
    <t>TrainingHours</t>
  </si>
  <si>
    <t>PerformanceScore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</si>
  <si>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</si>
  <si>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</si>
  <si>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</si>
  <si>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</si>
  <si>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</si>
  <si>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</si>
  <si>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</si>
  <si>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</si>
  <si>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</si>
  <si>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</si>
  <si>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</si>
  <si>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</si>
  <si>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</si>
  <si>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</si>
  <si>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</si>
  <si>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</si>
  <si>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</si>
  <si>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</si>
  <si>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</si>
  <si>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</si>
  <si>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</si>
  <si>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</si>
  <si>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</si>
  <si>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</si>
  <si>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</si>
  <si>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</si>
  <si>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</si>
  <si>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</si>
  <si>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</si>
  <si>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</si>
  <si>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</si>
  <si>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</si>
  <si>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</si>
  <si>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</si>
  <si>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</si>
  <si>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</si>
  <si>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</si>
  <si>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</si>
  <si>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</si>
  <si>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</si>
  <si>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</si>
  <si>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</si>
  <si>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</si>
  <si>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</si>
  <si>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</si>
  <si>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</si>
  <si>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</si>
  <si>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</si>
  <si>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</si>
  <si>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</si>
  <si>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Mean of age</t>
  </si>
  <si>
    <t>Mean of performance</t>
  </si>
  <si>
    <t>mean Salary</t>
  </si>
  <si>
    <t xml:space="preserve"> </t>
  </si>
  <si>
    <t>Median</t>
  </si>
  <si>
    <t>mean</t>
  </si>
  <si>
    <t>median</t>
  </si>
  <si>
    <t>mid valve</t>
  </si>
  <si>
    <t>50/2=25</t>
  </si>
  <si>
    <t>odd</t>
  </si>
  <si>
    <t>mid value</t>
  </si>
  <si>
    <t>even</t>
  </si>
  <si>
    <t>median of age</t>
  </si>
  <si>
    <t>mode</t>
  </si>
  <si>
    <t>m</t>
  </si>
  <si>
    <t>mode of age</t>
  </si>
  <si>
    <t>minimum value</t>
  </si>
  <si>
    <t>min value of age</t>
  </si>
  <si>
    <t>max value of age</t>
  </si>
  <si>
    <t>Range</t>
  </si>
  <si>
    <t>range o f age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</si>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</sst>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58B387-F2E1-4221-99CE-BCFE388A8669}" name="Table1" displayName="Table1" ref="A1:G51" totalsRowShown="0">
  <autoFilter ref="A1:G51" xr:uid="{8458B387-F2E1-4221-99CE-BCFE388A8669}"/>
  <sortState xmlns:xlrd2="http://schemas.microsoft.com/office/spreadsheetml/2017/richdata2" ref="A2:F51">
    <sortCondition ref="B1:B51"/>
  </sortState>
  <tableColumns count="7">
    <tableColumn id="1" xr3:uid="{D4FD80DE-4FF5-46F0-B2E6-ABB05CD8BCD3}" name="EmployeeID"/>
    <tableColumn id="2" xr3:uid="{3C0F82A1-0A32-44B6-BCDD-49725C785577}" name="Age"/>
    <tableColumn id="3" xr3:uid="{9D246153-81AA-471D-B1F5-F70A50EB6A5D}" name="ExperienceYears"/>
    <tableColumn id="4" xr3:uid="{B4CA8C10-31C7-4B8A-A796-E4C3C4B99F4F}" name="MonthlySalary"/>
    <tableColumn id="5" xr3:uid="{D206DA3F-B3CD-41F1-99FC-5E6C1F56013F}" name="TrainingHours"/>
    <tableColumn id="6" xr3:uid="{F71C31B5-4860-4462-A430-32975B265EA2}" name="PerformanceScore"/>
    <tableColumn id="7" xr3:uid="{62F64AEE-4872-4944-9A26-6312A34DA98C}" name="sample" dataDxfId="0">
      <calculatedColumnFormula>(Table1[[#This Row],[Age]]-M2)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E1" zoomScale="76" zoomScaleNormal="76" workbookViewId="0">
      <selection activeCell="G3" sqref="G3"/>
    </sheetView>
  </sheetViews>
  <sheetFormatPr defaultRowHeight="14.4" x14ac:dyDescent="0.3"/>
  <cols>
    <col min="1" max="1" width="13" customWidth="1"/>
    <col min="3" max="3" width="16.44140625" customWidth="1"/>
    <col min="4" max="4" width="15.21875" customWidth="1"/>
    <col min="5" max="5" width="14.5546875" customWidth="1"/>
    <col min="6" max="8" width="18.441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77</v>
      </c>
      <c r="K1" s="1" t="s">
        <v>61</v>
      </c>
    </row>
    <row r="2" spans="1:14" x14ac:dyDescent="0.3">
      <c r="A2" t="s">
        <v>45</v>
      </c>
      <c r="B2">
        <v>22</v>
      </c>
      <c r="C2">
        <v>0</v>
      </c>
      <c r="D2">
        <v>85889</v>
      </c>
      <c r="E2">
        <v>28</v>
      </c>
      <c r="F2">
        <v>74</v>
      </c>
      <c r="G2">
        <f>(Table1[[#This Row],[Age]]-M2)</f>
        <v>-9.9600000000000009</v>
      </c>
      <c r="K2" t="s">
        <v>56</v>
      </c>
      <c r="M2">
        <f>AVERAGE(B:B)</f>
        <v>31.96</v>
      </c>
    </row>
    <row r="3" spans="1:14" x14ac:dyDescent="0.3">
      <c r="A3" t="s">
        <v>54</v>
      </c>
      <c r="B3">
        <v>22</v>
      </c>
      <c r="C3">
        <v>0</v>
      </c>
      <c r="D3">
        <v>63564</v>
      </c>
      <c r="E3">
        <v>19</v>
      </c>
      <c r="F3" t="s">
        <v>70</v>
      </c>
      <c r="G3">
        <f>(Table1[[#This Row],[Age]]-M3)</f>
        <v>22</v>
      </c>
      <c r="K3" t="s">
        <v>57</v>
      </c>
      <c r="N3">
        <f>AVERAGE(F:F)</f>
        <v>77.489795918367349</v>
      </c>
    </row>
    <row r="4" spans="1:14" x14ac:dyDescent="0.3">
      <c r="A4" t="s">
        <v>9</v>
      </c>
      <c r="B4">
        <v>23</v>
      </c>
      <c r="C4">
        <v>0</v>
      </c>
      <c r="D4">
        <v>31140</v>
      </c>
      <c r="E4">
        <v>18</v>
      </c>
      <c r="F4">
        <v>69</v>
      </c>
      <c r="G4">
        <f>(Table1[[#This Row],[Age]]-M4)</f>
        <v>23</v>
      </c>
      <c r="K4" t="s">
        <v>58</v>
      </c>
      <c r="N4">
        <f>AVERAGE(D:D)</f>
        <v>56838.98</v>
      </c>
    </row>
    <row r="5" spans="1:14" x14ac:dyDescent="0.3">
      <c r="A5" t="s">
        <v>20</v>
      </c>
      <c r="B5">
        <v>23</v>
      </c>
      <c r="C5">
        <v>2</v>
      </c>
      <c r="D5">
        <v>39935</v>
      </c>
      <c r="E5">
        <v>54</v>
      </c>
      <c r="F5">
        <v>73</v>
      </c>
      <c r="G5">
        <f>(Table1[[#This Row],[Age]]-M5)</f>
        <v>23</v>
      </c>
      <c r="N5" t="s">
        <v>59</v>
      </c>
    </row>
    <row r="6" spans="1:14" x14ac:dyDescent="0.3">
      <c r="A6" t="s">
        <v>27</v>
      </c>
      <c r="B6">
        <v>23</v>
      </c>
      <c r="C6">
        <v>0</v>
      </c>
      <c r="D6">
        <v>78857</v>
      </c>
      <c r="E6">
        <v>7</v>
      </c>
      <c r="F6">
        <v>75</v>
      </c>
      <c r="G6">
        <f>(Table1[[#This Row],[Age]]-M6)</f>
        <v>23</v>
      </c>
    </row>
    <row r="7" spans="1:14" x14ac:dyDescent="0.3">
      <c r="A7" t="s">
        <v>18</v>
      </c>
      <c r="B7">
        <v>24</v>
      </c>
      <c r="C7">
        <v>2</v>
      </c>
      <c r="D7">
        <v>79355</v>
      </c>
      <c r="E7">
        <v>45</v>
      </c>
      <c r="F7">
        <v>94</v>
      </c>
      <c r="G7">
        <f>(Table1[[#This Row],[Age]]-M7)</f>
        <v>24</v>
      </c>
      <c r="K7" s="1" t="s">
        <v>60</v>
      </c>
    </row>
    <row r="8" spans="1:14" x14ac:dyDescent="0.3">
      <c r="A8" t="s">
        <v>21</v>
      </c>
      <c r="B8">
        <v>24</v>
      </c>
      <c r="C8">
        <v>1</v>
      </c>
      <c r="D8">
        <v>81785</v>
      </c>
      <c r="E8">
        <v>11</v>
      </c>
      <c r="F8">
        <v>79</v>
      </c>
      <c r="G8">
        <f>(Table1[[#This Row],[Age]]-M8)</f>
        <v>24</v>
      </c>
      <c r="K8" t="s">
        <v>63</v>
      </c>
      <c r="L8" t="s">
        <v>64</v>
      </c>
    </row>
    <row r="9" spans="1:14" x14ac:dyDescent="0.3">
      <c r="A9" t="s">
        <v>34</v>
      </c>
      <c r="B9">
        <v>24</v>
      </c>
      <c r="C9">
        <v>0</v>
      </c>
      <c r="D9">
        <v>81433</v>
      </c>
      <c r="E9">
        <v>12</v>
      </c>
      <c r="F9">
        <v>64</v>
      </c>
      <c r="G9">
        <f>(Table1[[#This Row],[Age]]-M9)</f>
        <v>24</v>
      </c>
    </row>
    <row r="10" spans="1:14" x14ac:dyDescent="0.3">
      <c r="A10" t="s">
        <v>47</v>
      </c>
      <c r="B10">
        <v>24</v>
      </c>
      <c r="C10">
        <v>3</v>
      </c>
      <c r="D10">
        <v>78478</v>
      </c>
      <c r="E10">
        <v>9</v>
      </c>
      <c r="F10">
        <v>89</v>
      </c>
      <c r="G10">
        <f>(Table1[[#This Row],[Age]]-M10)</f>
        <v>24</v>
      </c>
    </row>
    <row r="11" spans="1:14" x14ac:dyDescent="0.3">
      <c r="A11" t="s">
        <v>55</v>
      </c>
      <c r="B11">
        <v>24</v>
      </c>
      <c r="C11">
        <v>0</v>
      </c>
      <c r="D11">
        <v>40003</v>
      </c>
      <c r="E11">
        <v>9</v>
      </c>
      <c r="F11">
        <v>57</v>
      </c>
      <c r="G11">
        <f>(Table1[[#This Row],[Age]]-M11)</f>
        <v>24</v>
      </c>
      <c r="K11">
        <v>10</v>
      </c>
    </row>
    <row r="12" spans="1:14" x14ac:dyDescent="0.3">
      <c r="A12" t="s">
        <v>15</v>
      </c>
      <c r="B12">
        <v>25</v>
      </c>
      <c r="C12">
        <v>0</v>
      </c>
      <c r="D12">
        <v>49898</v>
      </c>
      <c r="E12">
        <v>11</v>
      </c>
      <c r="F12">
        <v>77</v>
      </c>
      <c r="G12">
        <f>(Table1[[#This Row],[Age]]-M12)</f>
        <v>25</v>
      </c>
      <c r="K12">
        <v>12</v>
      </c>
    </row>
    <row r="13" spans="1:14" x14ac:dyDescent="0.3">
      <c r="A13" t="s">
        <v>53</v>
      </c>
      <c r="B13">
        <v>25</v>
      </c>
      <c r="C13">
        <v>1</v>
      </c>
      <c r="D13">
        <v>39725</v>
      </c>
      <c r="E13">
        <v>9</v>
      </c>
      <c r="F13">
        <v>76</v>
      </c>
      <c r="G13">
        <f>(Table1[[#This Row],[Age]]-M13)</f>
        <v>25</v>
      </c>
      <c r="J13" t="s">
        <v>65</v>
      </c>
      <c r="K13">
        <v>15</v>
      </c>
    </row>
    <row r="14" spans="1:14" x14ac:dyDescent="0.3">
      <c r="A14" t="s">
        <v>14</v>
      </c>
      <c r="B14">
        <v>26</v>
      </c>
      <c r="C14">
        <v>1</v>
      </c>
      <c r="D14">
        <v>87731</v>
      </c>
      <c r="E14">
        <v>53</v>
      </c>
      <c r="F14">
        <v>76</v>
      </c>
      <c r="G14">
        <f>(Table1[[#This Row],[Age]]-M14)</f>
        <v>26</v>
      </c>
      <c r="K14">
        <v>5</v>
      </c>
      <c r="L14" t="s">
        <v>66</v>
      </c>
    </row>
    <row r="15" spans="1:14" x14ac:dyDescent="0.3">
      <c r="A15" t="s">
        <v>31</v>
      </c>
      <c r="B15">
        <v>26</v>
      </c>
      <c r="C15">
        <v>1</v>
      </c>
      <c r="D15">
        <v>73823</v>
      </c>
      <c r="E15">
        <v>40</v>
      </c>
      <c r="F15">
        <v>89</v>
      </c>
      <c r="G15">
        <f>(Table1[[#This Row],[Age]]-M15)</f>
        <v>26</v>
      </c>
      <c r="K15">
        <v>2</v>
      </c>
    </row>
    <row r="16" spans="1:14" x14ac:dyDescent="0.3">
      <c r="A16" t="s">
        <v>43</v>
      </c>
      <c r="B16">
        <v>26</v>
      </c>
      <c r="C16">
        <v>2</v>
      </c>
      <c r="D16">
        <v>74971</v>
      </c>
      <c r="E16">
        <v>15</v>
      </c>
      <c r="F16">
        <v>89</v>
      </c>
      <c r="G16">
        <f>(Table1[[#This Row],[Age]]-M16)</f>
        <v>26</v>
      </c>
      <c r="K16">
        <v>122</v>
      </c>
    </row>
    <row r="17" spans="1:13" x14ac:dyDescent="0.3">
      <c r="A17" t="s">
        <v>48</v>
      </c>
      <c r="B17">
        <v>26</v>
      </c>
      <c r="C17">
        <v>1</v>
      </c>
      <c r="D17">
        <v>68237</v>
      </c>
      <c r="E17">
        <v>35</v>
      </c>
      <c r="F17">
        <v>90</v>
      </c>
      <c r="G17">
        <f>(Table1[[#This Row],[Age]]-M17)</f>
        <v>26</v>
      </c>
      <c r="K17">
        <v>15</v>
      </c>
    </row>
    <row r="18" spans="1:13" x14ac:dyDescent="0.3">
      <c r="A18" t="s">
        <v>13</v>
      </c>
      <c r="B18">
        <v>27</v>
      </c>
      <c r="C18">
        <v>5</v>
      </c>
      <c r="D18">
        <v>52696</v>
      </c>
      <c r="E18">
        <v>26</v>
      </c>
      <c r="F18">
        <v>72</v>
      </c>
      <c r="G18">
        <f>(Table1[[#This Row],[Age]]-M18)</f>
        <v>27</v>
      </c>
    </row>
    <row r="19" spans="1:13" x14ac:dyDescent="0.3">
      <c r="A19" t="s">
        <v>23</v>
      </c>
      <c r="B19">
        <v>27</v>
      </c>
      <c r="C19">
        <v>2</v>
      </c>
      <c r="D19">
        <v>48283</v>
      </c>
      <c r="E19">
        <v>18</v>
      </c>
      <c r="F19">
        <v>97</v>
      </c>
      <c r="G19">
        <f>(Table1[[#This Row],[Age]]-M19)</f>
        <v>27</v>
      </c>
    </row>
    <row r="20" spans="1:13" x14ac:dyDescent="0.3">
      <c r="A20" t="s">
        <v>40</v>
      </c>
      <c r="B20">
        <v>27</v>
      </c>
      <c r="C20">
        <v>3</v>
      </c>
      <c r="D20">
        <v>25212</v>
      </c>
      <c r="E20">
        <v>51</v>
      </c>
      <c r="F20">
        <v>71</v>
      </c>
      <c r="G20">
        <f>(Table1[[#This Row],[Age]]-M20)</f>
        <v>27</v>
      </c>
      <c r="K20">
        <v>10</v>
      </c>
    </row>
    <row r="21" spans="1:13" x14ac:dyDescent="0.3">
      <c r="A21" t="s">
        <v>49</v>
      </c>
      <c r="B21">
        <v>27</v>
      </c>
      <c r="C21">
        <v>2</v>
      </c>
      <c r="D21">
        <v>59581</v>
      </c>
      <c r="E21">
        <v>60</v>
      </c>
      <c r="F21">
        <v>93</v>
      </c>
      <c r="G21">
        <f>(Table1[[#This Row],[Age]]-M21)</f>
        <v>27</v>
      </c>
      <c r="K21">
        <v>14</v>
      </c>
    </row>
    <row r="22" spans="1:13" x14ac:dyDescent="0.3">
      <c r="A22" t="s">
        <v>7</v>
      </c>
      <c r="B22">
        <v>29</v>
      </c>
      <c r="C22">
        <v>3</v>
      </c>
      <c r="D22">
        <v>34144</v>
      </c>
      <c r="E22">
        <v>52</v>
      </c>
      <c r="F22">
        <v>61</v>
      </c>
      <c r="G22">
        <f>(Table1[[#This Row],[Age]]-M22)</f>
        <v>14</v>
      </c>
      <c r="K22">
        <v>15</v>
      </c>
      <c r="L22" t="s">
        <v>62</v>
      </c>
      <c r="M22">
        <f>(K22+K23)/2</f>
        <v>15</v>
      </c>
    </row>
    <row r="23" spans="1:13" x14ac:dyDescent="0.3">
      <c r="A23" t="s">
        <v>46</v>
      </c>
      <c r="B23">
        <v>29</v>
      </c>
      <c r="C23">
        <v>0</v>
      </c>
      <c r="D23">
        <v>40785</v>
      </c>
      <c r="E23">
        <v>41</v>
      </c>
      <c r="F23">
        <v>60</v>
      </c>
      <c r="G23">
        <f>(Table1[[#This Row],[Age]]-M23)</f>
        <v>29</v>
      </c>
      <c r="J23" t="s">
        <v>67</v>
      </c>
      <c r="K23">
        <v>15</v>
      </c>
    </row>
    <row r="24" spans="1:13" x14ac:dyDescent="0.3">
      <c r="A24" t="s">
        <v>22</v>
      </c>
      <c r="B24">
        <v>30</v>
      </c>
      <c r="C24">
        <v>7</v>
      </c>
      <c r="D24">
        <v>66660</v>
      </c>
      <c r="E24">
        <v>58</v>
      </c>
      <c r="F24">
        <v>78</v>
      </c>
      <c r="G24">
        <f>(Table1[[#This Row],[Age]]-M24)</f>
        <v>30</v>
      </c>
      <c r="K24">
        <v>21</v>
      </c>
    </row>
    <row r="25" spans="1:13" x14ac:dyDescent="0.3">
      <c r="A25" t="s">
        <v>24</v>
      </c>
      <c r="B25">
        <v>30</v>
      </c>
      <c r="C25">
        <v>1</v>
      </c>
      <c r="D25">
        <v>64920</v>
      </c>
      <c r="E25">
        <v>45</v>
      </c>
      <c r="F25">
        <v>65</v>
      </c>
      <c r="G25">
        <f>(Table1[[#This Row],[Age]]-M25)</f>
        <v>30</v>
      </c>
      <c r="K25">
        <v>23</v>
      </c>
    </row>
    <row r="26" spans="1:13" x14ac:dyDescent="0.3">
      <c r="A26" t="s">
        <v>26</v>
      </c>
      <c r="B26">
        <v>30</v>
      </c>
      <c r="C26">
        <v>8</v>
      </c>
      <c r="D26">
        <v>39392</v>
      </c>
      <c r="E26">
        <v>48</v>
      </c>
      <c r="F26">
        <v>75</v>
      </c>
      <c r="G26">
        <f>(Table1[[#This Row],[Age]]-M26)</f>
        <v>30</v>
      </c>
    </row>
    <row r="27" spans="1:13" x14ac:dyDescent="0.3">
      <c r="A27" t="s">
        <v>32</v>
      </c>
      <c r="B27">
        <v>30</v>
      </c>
      <c r="C27">
        <v>9</v>
      </c>
      <c r="D27">
        <v>53077</v>
      </c>
      <c r="E27">
        <v>42</v>
      </c>
      <c r="F27">
        <v>80</v>
      </c>
      <c r="G27">
        <f>(Table1[[#This Row],[Age]]-M27)</f>
        <v>30</v>
      </c>
      <c r="J27" t="s">
        <v>68</v>
      </c>
      <c r="L27">
        <v>30</v>
      </c>
    </row>
    <row r="28" spans="1:13" x14ac:dyDescent="0.3">
      <c r="A28" t="s">
        <v>42</v>
      </c>
      <c r="B28">
        <v>31</v>
      </c>
      <c r="C28">
        <v>10</v>
      </c>
      <c r="D28">
        <v>58270</v>
      </c>
      <c r="E28">
        <v>43</v>
      </c>
      <c r="F28">
        <v>67</v>
      </c>
      <c r="G28">
        <f>(Table1[[#This Row],[Age]]-M28)</f>
        <v>31</v>
      </c>
    </row>
    <row r="29" spans="1:13" x14ac:dyDescent="0.3">
      <c r="A29" t="s">
        <v>16</v>
      </c>
      <c r="B29">
        <v>33</v>
      </c>
      <c r="C29">
        <v>9</v>
      </c>
      <c r="D29">
        <v>42335</v>
      </c>
      <c r="E29">
        <v>56</v>
      </c>
      <c r="F29">
        <v>57</v>
      </c>
      <c r="G29">
        <f>(Table1[[#This Row],[Age]]-M29)</f>
        <v>33</v>
      </c>
    </row>
    <row r="30" spans="1:13" x14ac:dyDescent="0.3">
      <c r="A30" t="s">
        <v>19</v>
      </c>
      <c r="B30">
        <v>33</v>
      </c>
      <c r="C30">
        <v>9</v>
      </c>
      <c r="D30">
        <v>37601</v>
      </c>
      <c r="E30">
        <v>50</v>
      </c>
      <c r="F30">
        <v>59</v>
      </c>
      <c r="G30">
        <f>(Table1[[#This Row],[Age]]-M30)</f>
        <v>33</v>
      </c>
      <c r="L30" s="1" t="s">
        <v>69</v>
      </c>
    </row>
    <row r="31" spans="1:13" x14ac:dyDescent="0.3">
      <c r="A31" t="s">
        <v>33</v>
      </c>
      <c r="B31">
        <v>33</v>
      </c>
      <c r="C31">
        <v>3</v>
      </c>
      <c r="D31">
        <v>34065</v>
      </c>
      <c r="E31">
        <v>37</v>
      </c>
      <c r="F31">
        <v>86</v>
      </c>
      <c r="G31">
        <f>(Table1[[#This Row],[Age]]-M31)</f>
        <v>9</v>
      </c>
      <c r="K31" t="s">
        <v>71</v>
      </c>
      <c r="M31">
        <f>_xlfn.MODE.SNGL(B2:B51)</f>
        <v>24</v>
      </c>
    </row>
    <row r="32" spans="1:13" x14ac:dyDescent="0.3">
      <c r="A32" t="s">
        <v>52</v>
      </c>
      <c r="B32">
        <v>33</v>
      </c>
      <c r="C32">
        <v>7</v>
      </c>
      <c r="D32">
        <v>83957</v>
      </c>
      <c r="E32">
        <v>38</v>
      </c>
      <c r="F32">
        <v>83</v>
      </c>
      <c r="G32">
        <f>(Table1[[#This Row],[Age]]-M32)</f>
        <v>33</v>
      </c>
    </row>
    <row r="33" spans="1:14" x14ac:dyDescent="0.3">
      <c r="A33" t="s">
        <v>28</v>
      </c>
      <c r="B33">
        <v>34</v>
      </c>
      <c r="C33">
        <v>4</v>
      </c>
      <c r="D33">
        <v>29337</v>
      </c>
      <c r="E33">
        <v>18</v>
      </c>
      <c r="F33">
        <v>91</v>
      </c>
      <c r="G33">
        <f>(Table1[[#This Row],[Age]]-M33)</f>
        <v>34</v>
      </c>
      <c r="L33" s="1" t="s">
        <v>72</v>
      </c>
    </row>
    <row r="34" spans="1:14" x14ac:dyDescent="0.3">
      <c r="A34" t="s">
        <v>30</v>
      </c>
      <c r="B34">
        <v>34</v>
      </c>
      <c r="C34">
        <v>10</v>
      </c>
      <c r="D34">
        <v>55071</v>
      </c>
      <c r="E34">
        <v>14</v>
      </c>
      <c r="F34">
        <v>71</v>
      </c>
      <c r="G34">
        <f>(Table1[[#This Row],[Age]]-M34)</f>
        <v>34</v>
      </c>
      <c r="K34" t="s">
        <v>73</v>
      </c>
      <c r="N34">
        <f>MIN(B:B)</f>
        <v>22</v>
      </c>
    </row>
    <row r="35" spans="1:14" x14ac:dyDescent="0.3">
      <c r="A35" t="s">
        <v>50</v>
      </c>
      <c r="B35">
        <v>35</v>
      </c>
      <c r="C35">
        <v>3</v>
      </c>
      <c r="D35">
        <v>85877</v>
      </c>
      <c r="E35">
        <v>39</v>
      </c>
      <c r="F35">
        <v>67</v>
      </c>
      <c r="G35">
        <f>(Table1[[#This Row],[Age]]-M35)</f>
        <v>35</v>
      </c>
      <c r="K35" t="s">
        <v>74</v>
      </c>
      <c r="N35">
        <f>MAX(B:B)</f>
        <v>45</v>
      </c>
    </row>
    <row r="36" spans="1:14" x14ac:dyDescent="0.3">
      <c r="A36" t="s">
        <v>37</v>
      </c>
      <c r="B36">
        <v>36</v>
      </c>
      <c r="C36">
        <v>8</v>
      </c>
      <c r="D36">
        <v>88640</v>
      </c>
      <c r="E36">
        <v>40</v>
      </c>
      <c r="F36">
        <v>55</v>
      </c>
      <c r="G36">
        <f>(Table1[[#This Row],[Age]]-M36)</f>
        <v>36</v>
      </c>
    </row>
    <row r="37" spans="1:14" x14ac:dyDescent="0.3">
      <c r="A37" t="s">
        <v>10</v>
      </c>
      <c r="B37">
        <v>38</v>
      </c>
      <c r="C37">
        <v>0</v>
      </c>
      <c r="D37">
        <v>61781</v>
      </c>
      <c r="E37">
        <v>17</v>
      </c>
      <c r="F37">
        <v>96</v>
      </c>
      <c r="G37">
        <f>(Table1[[#This Row],[Age]]-M37)</f>
        <v>38</v>
      </c>
    </row>
    <row r="38" spans="1:14" x14ac:dyDescent="0.3">
      <c r="A38" t="s">
        <v>41</v>
      </c>
      <c r="B38">
        <v>38</v>
      </c>
      <c r="C38">
        <v>5</v>
      </c>
      <c r="D38">
        <v>58271</v>
      </c>
      <c r="E38">
        <v>11</v>
      </c>
      <c r="F38">
        <v>95</v>
      </c>
      <c r="G38">
        <f>(Table1[[#This Row],[Age]]-M38)</f>
        <v>38</v>
      </c>
      <c r="L38" s="1" t="s">
        <v>75</v>
      </c>
    </row>
    <row r="39" spans="1:14" x14ac:dyDescent="0.3">
      <c r="A39" t="s">
        <v>44</v>
      </c>
      <c r="B39">
        <v>38</v>
      </c>
      <c r="C39">
        <v>0</v>
      </c>
      <c r="D39">
        <v>64252</v>
      </c>
      <c r="E39">
        <v>25</v>
      </c>
      <c r="F39">
        <v>86</v>
      </c>
      <c r="G39">
        <f>(Table1[[#This Row],[Age]]-M39)</f>
        <v>38</v>
      </c>
      <c r="K39" t="s">
        <v>76</v>
      </c>
      <c r="N39">
        <f>(N35-N34)</f>
        <v>23</v>
      </c>
    </row>
    <row r="40" spans="1:14" x14ac:dyDescent="0.3">
      <c r="A40" t="s">
        <v>25</v>
      </c>
      <c r="B40">
        <v>39</v>
      </c>
      <c r="C40">
        <v>7</v>
      </c>
      <c r="D40">
        <v>35708</v>
      </c>
      <c r="E40">
        <v>34</v>
      </c>
      <c r="F40">
        <v>79</v>
      </c>
      <c r="G40">
        <f>(Table1[[#This Row],[Age]]-M40)</f>
        <v>39</v>
      </c>
    </row>
    <row r="41" spans="1:14" x14ac:dyDescent="0.3">
      <c r="A41" t="s">
        <v>12</v>
      </c>
      <c r="B41">
        <v>40</v>
      </c>
      <c r="C41">
        <v>8</v>
      </c>
      <c r="D41">
        <v>78046</v>
      </c>
      <c r="E41">
        <v>60</v>
      </c>
      <c r="F41">
        <v>55</v>
      </c>
      <c r="G41">
        <f>(Table1[[#This Row],[Age]]-M41)</f>
        <v>40</v>
      </c>
    </row>
    <row r="42" spans="1:14" x14ac:dyDescent="0.3">
      <c r="A42" t="s">
        <v>36</v>
      </c>
      <c r="B42">
        <v>41</v>
      </c>
      <c r="C42">
        <v>2</v>
      </c>
      <c r="D42">
        <v>50216</v>
      </c>
      <c r="E42">
        <v>29</v>
      </c>
      <c r="F42">
        <v>93</v>
      </c>
      <c r="G42">
        <f>(Table1[[#This Row],[Age]]-M42)</f>
        <v>41</v>
      </c>
    </row>
    <row r="43" spans="1:14" x14ac:dyDescent="0.3">
      <c r="A43" t="s">
        <v>6</v>
      </c>
      <c r="B43">
        <v>42</v>
      </c>
      <c r="C43">
        <v>3</v>
      </c>
      <c r="D43">
        <v>26639</v>
      </c>
      <c r="E43">
        <v>52</v>
      </c>
      <c r="F43">
        <v>72</v>
      </c>
      <c r="G43">
        <f>(Table1[[#This Row],[Age]]-M43)</f>
        <v>42</v>
      </c>
    </row>
    <row r="44" spans="1:14" x14ac:dyDescent="0.3">
      <c r="A44" t="s">
        <v>35</v>
      </c>
      <c r="B44">
        <v>42</v>
      </c>
      <c r="C44">
        <v>5</v>
      </c>
      <c r="D44">
        <v>76909</v>
      </c>
      <c r="E44">
        <v>48</v>
      </c>
      <c r="F44">
        <v>82</v>
      </c>
      <c r="G44">
        <f>(Table1[[#This Row],[Age]]-M44)</f>
        <v>42</v>
      </c>
    </row>
    <row r="45" spans="1:14" x14ac:dyDescent="0.3">
      <c r="A45" t="s">
        <v>39</v>
      </c>
      <c r="B45">
        <v>42</v>
      </c>
      <c r="C45">
        <v>10</v>
      </c>
      <c r="D45">
        <v>32310</v>
      </c>
      <c r="E45">
        <v>23</v>
      </c>
      <c r="F45">
        <v>82</v>
      </c>
      <c r="G45">
        <f>(Table1[[#This Row],[Age]]-M45)</f>
        <v>42</v>
      </c>
    </row>
    <row r="46" spans="1:14" x14ac:dyDescent="0.3">
      <c r="A46" t="s">
        <v>8</v>
      </c>
      <c r="B46">
        <v>43</v>
      </c>
      <c r="C46">
        <v>17</v>
      </c>
      <c r="D46">
        <v>30697</v>
      </c>
      <c r="E46">
        <v>42</v>
      </c>
      <c r="F46">
        <v>82</v>
      </c>
      <c r="G46">
        <f>(Table1[[#This Row],[Age]]-M46)</f>
        <v>43</v>
      </c>
    </row>
    <row r="47" spans="1:14" x14ac:dyDescent="0.3">
      <c r="A47" t="s">
        <v>38</v>
      </c>
      <c r="B47">
        <v>43</v>
      </c>
      <c r="C47">
        <v>3</v>
      </c>
      <c r="D47">
        <v>69676</v>
      </c>
      <c r="E47">
        <v>39</v>
      </c>
      <c r="F47">
        <v>72</v>
      </c>
      <c r="G47">
        <f>(Table1[[#This Row],[Age]]-M47)</f>
        <v>43</v>
      </c>
    </row>
    <row r="48" spans="1:14" x14ac:dyDescent="0.3">
      <c r="A48" t="s">
        <v>11</v>
      </c>
      <c r="B48">
        <v>44</v>
      </c>
      <c r="C48">
        <v>17</v>
      </c>
      <c r="D48">
        <v>52493</v>
      </c>
      <c r="E48">
        <v>19</v>
      </c>
      <c r="F48">
        <v>83</v>
      </c>
      <c r="G48">
        <f>(Table1[[#This Row],[Age]]-M48)</f>
        <v>44</v>
      </c>
    </row>
    <row r="49" spans="1:7" x14ac:dyDescent="0.3">
      <c r="A49" t="s">
        <v>29</v>
      </c>
      <c r="B49">
        <v>44</v>
      </c>
      <c r="C49">
        <v>10</v>
      </c>
      <c r="D49">
        <v>38934</v>
      </c>
      <c r="E49">
        <v>46</v>
      </c>
      <c r="F49">
        <v>86</v>
      </c>
      <c r="G49">
        <f>(Table1[[#This Row],[Age]]-M49)</f>
        <v>44</v>
      </c>
    </row>
    <row r="50" spans="1:7" x14ac:dyDescent="0.3">
      <c r="A50" t="s">
        <v>51</v>
      </c>
      <c r="B50">
        <v>44</v>
      </c>
      <c r="C50">
        <v>9</v>
      </c>
      <c r="D50">
        <v>51148</v>
      </c>
      <c r="E50">
        <v>47</v>
      </c>
      <c r="F50">
        <v>96</v>
      </c>
      <c r="G50">
        <f>(Table1[[#This Row],[Age]]-M50)</f>
        <v>44</v>
      </c>
    </row>
    <row r="51" spans="1:7" x14ac:dyDescent="0.3">
      <c r="A51" t="s">
        <v>17</v>
      </c>
      <c r="B51">
        <v>45</v>
      </c>
      <c r="C51">
        <v>14</v>
      </c>
      <c r="D51">
        <v>60142</v>
      </c>
      <c r="E51">
        <v>12</v>
      </c>
      <c r="F51">
        <v>79</v>
      </c>
      <c r="G51">
        <f>(Table1[[#This Row],[Age]]-M51)</f>
        <v>45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muni chandan</cp:lastModifiedBy>
  <dcterms:created xsi:type="dcterms:W3CDTF">2026-06-12T13:10:54Z</dcterms:created>
  <dcterms:modified xsi:type="dcterms:W3CDTF">2026-06-26T05:57:16Z</dcterms:modified>
</cp:coreProperties>
</file>